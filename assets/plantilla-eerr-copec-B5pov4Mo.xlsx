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19660"/>
  </bookViews>
  <sheets>
    <sheet sheetId="2" name="EERR" state="visible" r:id="rId4"/>
  </sheets>
  <calcPr calcId="171027"/>
</workbook>
</file>

<file path=xl/sharedStrings.xml><?xml version="1.0" encoding="utf-8"?>
<sst xmlns="http://schemas.openxmlformats.org/spreadsheetml/2006/main" count="61" uniqueCount="59">
  <si>
    <t>EERR Negocio de Combustible</t>
  </si>
  <si>
    <t>MES</t>
  </si>
  <si>
    <t>Indicadores</t>
  </si>
  <si>
    <t>Volumen Total Gasolinas, Diésel y Kerosene (M3)</t>
  </si>
  <si>
    <t>Transacciones Gasolinas, Diésel y Kerosene</t>
  </si>
  <si>
    <t>M1 Gasolinas, Diésel y Kerosene ($/l)</t>
  </si>
  <si>
    <t>M2 Gasolinas, Diésel y Kerosene ($/l)</t>
  </si>
  <si>
    <t>Ingresos</t>
  </si>
  <si>
    <t>Ingreso de Concesión</t>
  </si>
  <si>
    <t>Comisión de Consignación</t>
  </si>
  <si>
    <t>Comisión TCT</t>
  </si>
  <si>
    <t>Comisión TAE</t>
  </si>
  <si>
    <t>Comisión Cupón Electrónico</t>
  </si>
  <si>
    <t>Comisión Muevo Empresas</t>
  </si>
  <si>
    <t>Comisión FFAA</t>
  </si>
  <si>
    <t>Incentivos Camión*</t>
  </si>
  <si>
    <t>Flete Camión*</t>
  </si>
  <si>
    <t>Apoyo por Externalidad*</t>
  </si>
  <si>
    <t>Bonificación de Preprograma</t>
  </si>
  <si>
    <t>Total</t>
  </si>
  <si>
    <t>Gasto de Personal</t>
  </si>
  <si>
    <t>Cantidad de Atendedores</t>
  </si>
  <si>
    <t>Costo Empresa Atendedores</t>
  </si>
  <si>
    <t>Cantidad Jefes de Servicio</t>
  </si>
  <si>
    <t>Costo Empresa Jefes de Servicio</t>
  </si>
  <si>
    <t>Cantidad Administrativos</t>
  </si>
  <si>
    <t>Costo Empresa Administrativos</t>
  </si>
  <si>
    <t>Cantidad de Contadores</t>
  </si>
  <si>
    <t>Costo Empresa Contador</t>
  </si>
  <si>
    <t>Energía Eléctrica</t>
  </si>
  <si>
    <t>Agua</t>
  </si>
  <si>
    <t>Rollos térmicos boleta y factura</t>
  </si>
  <si>
    <t>Seguro EDS</t>
  </si>
  <si>
    <t>Retiro dinero Prosegur</t>
  </si>
  <si>
    <t>Prevensionista  Riesgo</t>
  </si>
  <si>
    <t>Comision Equipo Aire</t>
  </si>
  <si>
    <t>Servicio IP</t>
  </si>
  <si>
    <t>Servicio Redes</t>
  </si>
  <si>
    <t>Comisiones de Adquirencia</t>
  </si>
  <si>
    <t>Comisión POS</t>
  </si>
  <si>
    <t>Patente Comercial en trámite por Copec</t>
  </si>
  <si>
    <t xml:space="preserve">Internet y celular y modem </t>
  </si>
  <si>
    <t>Jardinero tratamiento y diseño jardin seco</t>
  </si>
  <si>
    <t>PPM o Impuesto 1era categoria</t>
  </si>
  <si>
    <t xml:space="preserve">Comisión por uso TBK inalambrica </t>
  </si>
  <si>
    <t>Comisión uso cta cte ITAU</t>
  </si>
  <si>
    <t>Mantenimiento infraestructura</t>
  </si>
  <si>
    <t>Mantenimiento surtidores CXF</t>
  </si>
  <si>
    <t>Utiles escritorio y catridge</t>
  </si>
  <si>
    <t xml:space="preserve">Utiles de aseo eds </t>
  </si>
  <si>
    <t>Servicio de aseo Oficina baño</t>
  </si>
  <si>
    <t>Recarga de extintores</t>
  </si>
  <si>
    <t>Retiro de Lodo y Arena contaminada</t>
  </si>
  <si>
    <t>Desratización y fumigación</t>
  </si>
  <si>
    <t>Resumen</t>
  </si>
  <si>
    <t>Ingreso Total</t>
  </si>
  <si>
    <t>Gasto Total</t>
  </si>
  <si>
    <t>Derecho/Arriendo</t>
  </si>
  <si>
    <t>EERR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</si>
</sst>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-* #,##0_-;_-* &quot;-&quot;_-;_-@_-"/>
    <numFmt numFmtId="165" formatCode="_-&quot;$&quot;* #,##0_-;-&quot;$&quot;* #,##0_-;_-&quot;$&quot;* &quot;-&quot;_-;_-@_-"/>
    <numFmt numFmtId="166" formatCode="_-* #,##0.0_-;-* #,##0.0_-;_-* &quot;-&quot;_-;_-@_-"/>
  </numFmts>
  <fonts count="1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0"/>
      <family val="2"/>
      <scheme val="minor"/>
      <sz val="11"/>
      <name val="Aptos Narrow"/>
    </font>
    <font>
      <b/>
      <family val="2"/>
      <scheme val="minor"/>
      <sz val="11"/>
      <name val="Aptos Narrow"/>
    </font>
    <font>
      <family val="2"/>
      <scheme val="minor"/>
      <sz val="11"/>
      <name val="Aptos Narrow"/>
    </font>
    <font>
      <color rgb="FFFF0000"/>
      <family val="2"/>
      <scheme val="minor"/>
      <sz val="12"/>
      <name val="Aptos Narrow"/>
    </font>
    <font>
      <scheme val="minor"/>
      <sz val="11"/>
      <name val="Aptos Narrow"/>
    </font>
    <font>
      <scheme val="minor"/>
      <sz val="12"/>
      <name val="Aptos Narrow"/>
    </font>
    <font>
      <color theme="3" tint="0.249977111117893"/>
      <family val="2"/>
      <scheme val="minor"/>
      <sz val="12"/>
      <name val="Aptos Narrow"/>
    </font>
    <font>
      <color rgb="FF000000"/>
      <family val="2"/>
      <scheme val="minor"/>
      <sz val="11"/>
      <name val="Aptos Narrow"/>
    </font>
    <font>
      <color rgb="FF000000"/>
      <scheme val="minor"/>
      <sz val="11"/>
      <name val="Aptos Narrow"/>
    </font>
    <font>
      <color theme="1"/>
      <scheme val="minor"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>
      <alignment horizontal="center"/>
    </xf>
    <xf numFmtId="0" fontId="2" fillId="2" borderId="0" xfId="0" applyFont="1" applyFill="1"/>
    <xf numFmtId="164" fontId="2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165" fontId="1" fillId="0" borderId="7" xfId="0" applyNumberFormat="1" applyFont="1" applyBorder="1" applyAlignment="1">
      <alignment horizontal="center"/>
    </xf>
    <xf numFmtId="0" fontId="1" fillId="0" borderId="8" xfId="0" applyFont="1" applyBorder="1"/>
    <xf numFmtId="165" fontId="1" fillId="0" borderId="9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left"/>
    </xf>
    <xf numFmtId="165" fontId="1" fillId="0" borderId="5" xfId="0" applyNumberFormat="1" applyFont="1" applyBorder="1" applyAlignment="1">
      <alignment horizontal="right"/>
    </xf>
    <xf numFmtId="0" fontId="1" fillId="0" borderId="6" xfId="0" applyFont="1" applyBorder="1" applyAlignment="1">
      <alignment horizontal="left"/>
    </xf>
    <xf numFmtId="165" fontId="4" fillId="0" borderId="7" xfId="0" applyNumberFormat="1" applyFont="1" applyBorder="1" applyAlignment="1">
      <alignment horizontal="right"/>
    </xf>
    <xf numFmtId="165" fontId="1" fillId="0" borderId="0" xfId="0" applyNumberFormat="1" applyFont="1"/>
    <xf numFmtId="165" fontId="1" fillId="0" borderId="7" xfId="0" applyNumberFormat="1" applyFont="1" applyBorder="1" applyAlignment="1">
      <alignment horizontal="right"/>
    </xf>
    <xf numFmtId="0" fontId="5" fillId="0" borderId="8" xfId="0" applyFont="1" applyBorder="1" applyAlignment="1">
      <alignment horizontal="left"/>
    </xf>
    <xf numFmtId="165" fontId="5" fillId="0" borderId="9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165" fontId="6" fillId="5" borderId="0" xfId="0" applyNumberFormat="1" applyFont="1" applyFill="1" applyAlignment="1">
      <alignment horizontal="right"/>
    </xf>
    <xf numFmtId="164" fontId="1" fillId="0" borderId="0" xfId="0" applyNumberFormat="1" applyFont="1"/>
    <xf numFmtId="166" fontId="7" fillId="0" borderId="5" xfId="0" applyNumberFormat="1" applyFont="1" applyBorder="1" applyAlignment="1">
      <alignment horizontal="right"/>
    </xf>
    <xf numFmtId="0" fontId="1" fillId="0" borderId="6" xfId="0" applyFont="1" applyBorder="1" applyAlignment="1">
      <alignment horizontal="left" indent="1"/>
    </xf>
    <xf numFmtId="164" fontId="7" fillId="0" borderId="7" xfId="0" applyNumberFormat="1" applyFont="1" applyBorder="1" applyAlignment="1">
      <alignment horizontal="right"/>
    </xf>
    <xf numFmtId="0" fontId="4" fillId="0" borderId="6" xfId="0" applyFont="1" applyBorder="1" applyAlignment="1">
      <alignment horizontal="left"/>
    </xf>
    <xf numFmtId="166" fontId="6" fillId="0" borderId="7" xfId="0" applyNumberFormat="1" applyFont="1" applyBorder="1" applyAlignment="1">
      <alignment horizontal="right"/>
    </xf>
    <xf numFmtId="0" fontId="1" fillId="0" borderId="8" xfId="0" applyFont="1" applyBorder="1" applyAlignment="1">
      <alignment horizontal="left" indent="1"/>
    </xf>
    <xf numFmtId="165" fontId="1" fillId="0" borderId="9" xfId="0" applyNumberFormat="1" applyFont="1" applyBorder="1" applyAlignment="1">
      <alignment horizontal="right"/>
    </xf>
    <xf numFmtId="0" fontId="3" fillId="4" borderId="0" xfId="0" applyFont="1" applyFill="1"/>
    <xf numFmtId="0" fontId="3" fillId="4" borderId="4" xfId="0" applyFont="1" applyFill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right"/>
    </xf>
    <xf numFmtId="0" fontId="3" fillId="4" borderId="6" xfId="0" applyFont="1" applyFill="1" applyBorder="1" applyAlignment="1">
      <alignment horizontal="center" vertical="center" wrapText="1"/>
    </xf>
    <xf numFmtId="165" fontId="8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9" fillId="0" borderId="6" xfId="0" applyFont="1" applyBorder="1"/>
    <xf numFmtId="0" fontId="10" fillId="0" borderId="6" xfId="0" applyFont="1" applyBorder="1"/>
    <xf numFmtId="165" fontId="10" fillId="0" borderId="7" xfId="0" applyNumberFormat="1" applyFont="1" applyBorder="1" applyAlignment="1">
      <alignment horizontal="right"/>
    </xf>
    <xf numFmtId="0" fontId="11" fillId="0" borderId="6" xfId="0" applyFont="1" applyBorder="1"/>
    <xf numFmtId="165" fontId="11" fillId="0" borderId="7" xfId="0" applyNumberFormat="1" applyFont="1" applyBorder="1" applyAlignment="1">
      <alignment horizontal="right"/>
    </xf>
    <xf numFmtId="0" fontId="11" fillId="0" borderId="8" xfId="0" applyFont="1" applyBorder="1"/>
    <xf numFmtId="165" fontId="11" fillId="0" borderId="9" xfId="0" applyNumberFormat="1" applyFont="1" applyBorder="1" applyAlignment="1">
      <alignment horizontal="right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/>
    <xf numFmtId="165" fontId="6" fillId="5" borderId="11" xfId="0" applyNumberFormat="1" applyFont="1" applyFill="1" applyBorder="1" applyAlignment="1">
      <alignment horizontal="right"/>
    </xf>
    <xf numFmtId="165" fontId="1" fillId="0" borderId="9" xfId="0" applyNumberFormat="1" applyFont="1" applyBorder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74"/>
  <sheetViews>
    <sheetView workbookViewId="0" zoomScale="137" zoomScaleNormal="137">
      <selection activeCell="D50" sqref="D50"/>
    </sheetView>
  </sheetViews>
  <sheetFormatPr defaultRowHeight="16" outlineLevelRow="0" outlineLevelCol="0" x14ac:dyDescent="0" customHeight="1"/>
  <cols>
    <col min="2" max="2" width="15.1640625" customWidth="1"/>
    <col min="3" max="3" width="40.83203125" customWidth="1"/>
    <col min="4" max="4" width="13.1640625" customWidth="1"/>
    <col min="5" max="5" width="6.6640625" customWidth="1"/>
    <col min="6" max="9" width="13.33203125" customWidth="1"/>
  </cols>
  <sheetData>
    <row r="3" ht="17" customHeight="1" spans="2:4" x14ac:dyDescent="0.25">
      <c r="B3" s="1"/>
      <c r="C3" s="1"/>
      <c r="D3" s="2"/>
    </row>
    <row r="4" spans="2:4" x14ac:dyDescent="0.25">
      <c r="B4" s="3"/>
      <c r="C4" s="3" t="s">
        <v>0</v>
      </c>
      <c r="D4" s="4" t="s">
        <v>1</v>
      </c>
    </row>
    <row r="5" spans="2:4" x14ac:dyDescent="0.25">
      <c r="B5" s="5" t="s">
        <v>2</v>
      </c>
      <c r="C5" s="6" t="s">
        <v>3</v>
      </c>
      <c r="D5" s="7">
        <v>0</v>
      </c>
    </row>
    <row r="6" spans="2:4" x14ac:dyDescent="0.25">
      <c r="B6" s="5"/>
      <c r="C6" s="8" t="s">
        <v>4</v>
      </c>
      <c r="D6" s="9"/>
    </row>
    <row r="7" spans="2:4" x14ac:dyDescent="0.25">
      <c r="B7" s="5"/>
      <c r="C7" s="8" t="s">
        <v>5</v>
      </c>
      <c r="D7" s="9"/>
    </row>
    <row r="8" spans="2:4" x14ac:dyDescent="0.25">
      <c r="B8" s="5"/>
      <c r="C8" s="10" t="s">
        <v>6</v>
      </c>
      <c r="D8" s="11"/>
    </row>
    <row r="9" spans="2:4" x14ac:dyDescent="0.25">
      <c r="B9" s="12"/>
      <c r="D9" s="13"/>
    </row>
    <row r="10" spans="2:4" x14ac:dyDescent="0.25">
      <c r="B10" s="14" t="s">
        <v>7</v>
      </c>
      <c r="C10" s="15" t="s">
        <v>8</v>
      </c>
      <c r="D10" s="16">
        <v>0</v>
      </c>
    </row>
    <row r="11" spans="2:7" x14ac:dyDescent="0.25">
      <c r="B11" s="14"/>
      <c r="C11" s="17" t="s">
        <v>9</v>
      </c>
      <c r="D11" s="18">
        <v>0</v>
      </c>
      <c r="G11" s="19"/>
    </row>
    <row r="12" spans="2:7" x14ac:dyDescent="0.25">
      <c r="B12" s="14"/>
      <c r="C12" s="17" t="s">
        <v>10</v>
      </c>
      <c r="D12" s="20">
        <v>0</v>
      </c>
      <c r="G12" s="19"/>
    </row>
    <row r="13" spans="2:7" x14ac:dyDescent="0.25">
      <c r="B13" s="14"/>
      <c r="C13" s="17" t="s">
        <v>11</v>
      </c>
      <c r="D13" s="20">
        <v>0</v>
      </c>
      <c r="G13" s="19"/>
    </row>
    <row r="14" spans="2:4" x14ac:dyDescent="0.25">
      <c r="B14" s="14"/>
      <c r="C14" s="17" t="s">
        <v>12</v>
      </c>
      <c r="D14" s="20">
        <v>0</v>
      </c>
    </row>
    <row r="15" spans="2:4" x14ac:dyDescent="0.25">
      <c r="B15" s="14"/>
      <c r="C15" s="17" t="s">
        <v>13</v>
      </c>
      <c r="D15" s="20">
        <v>0</v>
      </c>
    </row>
    <row r="16" spans="2:4" x14ac:dyDescent="0.25">
      <c r="B16" s="14"/>
      <c r="C16" s="17" t="s">
        <v>14</v>
      </c>
      <c r="D16" s="20">
        <v>0</v>
      </c>
    </row>
    <row r="17" spans="2:4" x14ac:dyDescent="0.25">
      <c r="B17" s="14"/>
      <c r="C17" s="17" t="s">
        <v>15</v>
      </c>
      <c r="D17" s="20">
        <v>0</v>
      </c>
    </row>
    <row r="18" spans="2:4" x14ac:dyDescent="0.25">
      <c r="B18" s="14"/>
      <c r="C18" s="17" t="s">
        <v>16</v>
      </c>
      <c r="D18" s="20">
        <v>0</v>
      </c>
    </row>
    <row r="19" spans="2:4" x14ac:dyDescent="0.25">
      <c r="B19" s="14"/>
      <c r="C19" s="17" t="s">
        <v>17</v>
      </c>
      <c r="D19" s="20">
        <v>0</v>
      </c>
    </row>
    <row r="20" spans="2:4" x14ac:dyDescent="0.25">
      <c r="B20" s="14"/>
      <c r="C20" s="21" t="s">
        <v>18</v>
      </c>
      <c r="D20" s="22">
        <v>0</v>
      </c>
    </row>
    <row r="21" spans="2:7" x14ac:dyDescent="0.25">
      <c r="B21" s="14"/>
      <c r="C21" s="23" t="s">
        <v>19</v>
      </c>
      <c r="D21" s="24">
        <f>SUM(D10:D20)</f>
        <v>0</v>
      </c>
      <c r="G21" s="25"/>
    </row>
    <row r="22" spans="4:4" x14ac:dyDescent="0.25">
      <c r="D22" s="13"/>
    </row>
    <row r="23" spans="2:4" x14ac:dyDescent="0.25">
      <c r="B23" s="14" t="s">
        <v>20</v>
      </c>
      <c r="C23" s="15" t="s">
        <v>21</v>
      </c>
      <c r="D23" s="26">
        <v>0</v>
      </c>
    </row>
    <row r="24" spans="2:4" x14ac:dyDescent="0.25">
      <c r="B24" s="14"/>
      <c r="C24" s="27" t="s">
        <v>22</v>
      </c>
      <c r="D24" s="20">
        <v>0</v>
      </c>
    </row>
    <row r="25" spans="2:4" x14ac:dyDescent="0.25">
      <c r="B25" s="14"/>
      <c r="C25" s="17" t="s">
        <v>23</v>
      </c>
      <c r="D25" s="28">
        <v>0</v>
      </c>
    </row>
    <row r="26" spans="2:4" x14ac:dyDescent="0.25">
      <c r="B26" s="14"/>
      <c r="C26" s="27" t="s">
        <v>24</v>
      </c>
      <c r="D26" s="20">
        <v>0</v>
      </c>
    </row>
    <row r="27" spans="2:4" x14ac:dyDescent="0.25">
      <c r="B27" s="14"/>
      <c r="C27" s="29" t="s">
        <v>25</v>
      </c>
      <c r="D27" s="30">
        <v>0</v>
      </c>
    </row>
    <row r="28" spans="2:4" x14ac:dyDescent="0.25">
      <c r="B28" s="14"/>
      <c r="C28" s="27" t="s">
        <v>26</v>
      </c>
      <c r="D28" s="20">
        <v>0</v>
      </c>
    </row>
    <row r="29" spans="2:4" x14ac:dyDescent="0.25">
      <c r="B29" s="14"/>
      <c r="C29" s="17" t="s">
        <v>27</v>
      </c>
      <c r="D29" s="28">
        <v>0</v>
      </c>
    </row>
    <row r="30" spans="2:4" x14ac:dyDescent="0.25">
      <c r="B30" s="14"/>
      <c r="C30" s="31" t="s">
        <v>28</v>
      </c>
      <c r="D30" s="32">
        <v>0</v>
      </c>
    </row>
    <row r="31" spans="2:6" x14ac:dyDescent="0.25">
      <c r="B31" s="14"/>
      <c r="C31" s="33" t="s">
        <v>19</v>
      </c>
      <c r="D31" s="24">
        <f>D23*D24+D25*D26+D27*D28+D29*D30</f>
        <v>0</v>
      </c>
      <c r="F31" s="19"/>
    </row>
    <row r="32" spans="4:6" x14ac:dyDescent="0.25">
      <c r="D32" s="13"/>
      <c r="F32" s="19"/>
    </row>
    <row r="33" spans="2:6" x14ac:dyDescent="0.25">
      <c r="B33" s="34"/>
      <c r="C33" s="6" t="s">
        <v>29</v>
      </c>
      <c r="D33" s="35">
        <v>0</v>
      </c>
      <c r="F33" s="19"/>
    </row>
    <row r="34" spans="2:6" x14ac:dyDescent="0.25">
      <c r="B34" s="36"/>
      <c r="C34" s="8" t="s">
        <v>30</v>
      </c>
      <c r="D34" s="18">
        <v>0</v>
      </c>
      <c r="F34" s="19"/>
    </row>
    <row r="35" spans="2:6" x14ac:dyDescent="0.25">
      <c r="B35" s="36"/>
      <c r="C35" s="8" t="s">
        <v>31</v>
      </c>
      <c r="D35" s="18">
        <v>0</v>
      </c>
      <c r="F35" s="19"/>
    </row>
    <row r="36" spans="2:6" x14ac:dyDescent="0.25">
      <c r="B36" s="36"/>
      <c r="C36" s="8" t="s">
        <v>32</v>
      </c>
      <c r="D36" s="18">
        <v>0</v>
      </c>
      <c r="F36" s="19"/>
    </row>
    <row r="37" spans="2:9" x14ac:dyDescent="0.25">
      <c r="B37" s="36"/>
      <c r="C37" s="8" t="s">
        <v>33</v>
      </c>
      <c r="D37" s="18">
        <v>0</v>
      </c>
      <c r="F37" s="37"/>
      <c r="G37" s="37"/>
      <c r="H37" s="37"/>
      <c r="I37" s="37"/>
    </row>
    <row r="38" spans="2:6" x14ac:dyDescent="0.25">
      <c r="B38" s="36"/>
      <c r="C38" s="8" t="s">
        <v>34</v>
      </c>
      <c r="D38" s="18">
        <v>0</v>
      </c>
      <c r="F38" s="19"/>
    </row>
    <row r="39" spans="2:9" x14ac:dyDescent="0.25">
      <c r="B39" s="36"/>
      <c r="C39" s="8" t="s">
        <v>35</v>
      </c>
      <c r="D39" s="18">
        <v>0</v>
      </c>
      <c r="F39" s="38"/>
      <c r="G39" s="39"/>
      <c r="H39" s="39"/>
      <c r="I39" s="39"/>
    </row>
    <row r="40" spans="2:9" x14ac:dyDescent="0.25">
      <c r="B40" s="36"/>
      <c r="C40" s="40" t="s">
        <v>36</v>
      </c>
      <c r="D40" s="18">
        <v>0</v>
      </c>
      <c r="F40" s="39"/>
      <c r="G40" s="39"/>
      <c r="H40" s="39"/>
      <c r="I40" s="39"/>
    </row>
    <row r="41" spans="2:9" x14ac:dyDescent="0.25">
      <c r="B41" s="36"/>
      <c r="C41" s="40" t="s">
        <v>37</v>
      </c>
      <c r="D41" s="18">
        <v>0</v>
      </c>
      <c r="G41" s="19"/>
      <c r="H41" s="19"/>
      <c r="I41" s="19"/>
    </row>
    <row r="42" spans="2:4" x14ac:dyDescent="0.25">
      <c r="B42" s="36"/>
      <c r="C42" s="40" t="s">
        <v>38</v>
      </c>
      <c r="D42" s="18">
        <v>0</v>
      </c>
    </row>
    <row r="43" spans="2:9" x14ac:dyDescent="0.25">
      <c r="B43" s="36"/>
      <c r="C43" s="40" t="s">
        <v>39</v>
      </c>
      <c r="D43" s="18">
        <v>0</v>
      </c>
      <c r="G43" s="19"/>
      <c r="H43" s="19"/>
      <c r="I43" s="19"/>
    </row>
    <row r="44" spans="2:6" x14ac:dyDescent="0.25">
      <c r="B44" s="36"/>
      <c r="C44" s="41" t="s">
        <v>40</v>
      </c>
      <c r="D44" s="42">
        <v>0</v>
      </c>
      <c r="F44" s="25"/>
    </row>
    <row r="45" spans="2:9" x14ac:dyDescent="0.25">
      <c r="B45" s="36"/>
      <c r="C45" s="43" t="s">
        <v>41</v>
      </c>
      <c r="D45" s="44">
        <v>0</v>
      </c>
      <c r="H45" s="19"/>
      <c r="I45" s="19"/>
    </row>
    <row r="46" spans="2:4" x14ac:dyDescent="0.25">
      <c r="B46" s="36"/>
      <c r="C46" s="43" t="s">
        <v>42</v>
      </c>
      <c r="D46" s="44">
        <v>0</v>
      </c>
    </row>
    <row r="47" spans="2:9" x14ac:dyDescent="0.25">
      <c r="B47" s="36"/>
      <c r="C47" s="43" t="s">
        <v>43</v>
      </c>
      <c r="D47" s="44">
        <v>0</v>
      </c>
      <c r="G47" s="19"/>
      <c r="H47" s="19"/>
      <c r="I47" s="19"/>
    </row>
    <row r="48" spans="2:4" x14ac:dyDescent="0.25">
      <c r="B48" s="36"/>
      <c r="C48" s="43" t="s">
        <v>44</v>
      </c>
      <c r="D48" s="44">
        <v>0</v>
      </c>
    </row>
    <row r="49" spans="2:9" x14ac:dyDescent="0.25">
      <c r="B49" s="36"/>
      <c r="C49" s="43" t="s">
        <v>45</v>
      </c>
      <c r="D49" s="44">
        <v>0</v>
      </c>
      <c r="G49" s="19"/>
      <c r="H49" s="19"/>
      <c r="I49" s="19"/>
    </row>
    <row r="50" spans="2:4" x14ac:dyDescent="0.25">
      <c r="B50" s="36"/>
      <c r="C50" s="43" t="s">
        <v>46</v>
      </c>
      <c r="D50" s="44">
        <v>0</v>
      </c>
    </row>
    <row r="51" spans="2:4" x14ac:dyDescent="0.25">
      <c r="B51" s="36"/>
      <c r="C51" s="43" t="s">
        <v>47</v>
      </c>
      <c r="D51" s="44">
        <v>0</v>
      </c>
    </row>
    <row r="52" spans="2:8" x14ac:dyDescent="0.25">
      <c r="B52" s="36"/>
      <c r="C52" s="43" t="s">
        <v>48</v>
      </c>
      <c r="D52" s="44">
        <v>0</v>
      </c>
      <c r="H52" s="19"/>
    </row>
    <row r="53" spans="2:8" x14ac:dyDescent="0.25">
      <c r="B53" s="36"/>
      <c r="C53" s="43" t="s">
        <v>49</v>
      </c>
      <c r="D53" s="44">
        <v>0</v>
      </c>
      <c r="H53" s="19"/>
    </row>
    <row r="54" spans="2:8" x14ac:dyDescent="0.25">
      <c r="B54" s="36"/>
      <c r="C54" s="43" t="s">
        <v>50</v>
      </c>
      <c r="D54" s="44">
        <v>0</v>
      </c>
      <c r="H54" s="19"/>
    </row>
    <row r="55" spans="2:4" x14ac:dyDescent="0.25">
      <c r="B55" s="36"/>
      <c r="C55" s="43" t="s">
        <v>51</v>
      </c>
      <c r="D55" s="44">
        <v>0</v>
      </c>
    </row>
    <row r="56" spans="2:4" x14ac:dyDescent="0.25">
      <c r="B56" s="36"/>
      <c r="C56" s="43" t="s">
        <v>52</v>
      </c>
      <c r="D56" s="44">
        <v>0</v>
      </c>
    </row>
    <row r="57" spans="2:4" x14ac:dyDescent="0.25">
      <c r="B57" s="36"/>
      <c r="C57" s="45" t="s">
        <v>53</v>
      </c>
      <c r="D57" s="46">
        <v>0</v>
      </c>
    </row>
    <row r="58" spans="2:4" x14ac:dyDescent="0.25">
      <c r="B58" s="47"/>
      <c r="C58" s="48" t="s">
        <v>19</v>
      </c>
      <c r="D58" s="49">
        <f>SUM(D33:D57)</f>
        <v>0</v>
      </c>
    </row>
    <row r="59" spans="4:4" x14ac:dyDescent="0.25">
      <c r="D59" s="13"/>
    </row>
    <row r="60" spans="2:4" x14ac:dyDescent="0.25">
      <c r="B60" s="14" t="s">
        <v>54</v>
      </c>
      <c r="C60" s="6" t="s">
        <v>55</v>
      </c>
      <c r="D60" s="16">
        <f>D21</f>
        <v>0</v>
      </c>
    </row>
    <row r="61" spans="2:4" x14ac:dyDescent="0.25">
      <c r="B61" s="14"/>
      <c r="C61" s="8" t="s">
        <v>56</v>
      </c>
      <c r="D61" s="20">
        <f>D31+D58</f>
        <v>0</v>
      </c>
    </row>
    <row r="62" spans="2:4" x14ac:dyDescent="0.25">
      <c r="B62" s="14"/>
      <c r="C62" s="10" t="s">
        <v>57</v>
      </c>
      <c r="D62" s="50">
        <v>0</v>
      </c>
    </row>
    <row r="63" spans="2:7" x14ac:dyDescent="0.25">
      <c r="B63" s="14"/>
      <c r="C63" s="33" t="s">
        <v>58</v>
      </c>
      <c r="D63" s="49">
        <f>D60-D61-D62</f>
        <v>0</v>
      </c>
      <c r="G63" s="19"/>
    </row>
    <row r="64" spans="4:7" x14ac:dyDescent="0.25">
      <c r="D64" s="51"/>
      <c r="E64" s="51"/>
      <c r="G64" s="19"/>
    </row>
    <row r="66" spans="7:7" x14ac:dyDescent="0.25">
      <c r="G66" s="19"/>
    </row>
    <row r="67" spans="4:4" x14ac:dyDescent="0.25">
      <c r="D67" s="52"/>
    </row>
    <row r="70" ht="16" customHeight="1" spans="4:4" x14ac:dyDescent="0.25">
      <c r="D70" s="51"/>
    </row>
    <row r="72" ht="16" customHeight="1" spans="4:4" x14ac:dyDescent="0.25">
      <c r="D72" s="53"/>
    </row>
    <row r="73" spans="4:4" x14ac:dyDescent="0.25">
      <c r="D73" s="53"/>
    </row>
    <row r="74" spans="4:4" x14ac:dyDescent="0.25">
      <c r="D74" s="53"/>
    </row>
  </sheetData>
  <mergeCells count="7">
    <mergeCell ref="B5:B8"/>
    <mergeCell ref="B10:B21"/>
    <mergeCell ref="B23:B31"/>
    <mergeCell ref="B33:B58"/>
    <mergeCell ref="B60:B63"/>
    <mergeCell ref="D64:E64"/>
    <mergeCell ref="D72:D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Riveros</dc:creator>
  <cp:lastModifiedBy>Raul Riveros</cp:lastModifiedBy>
  <dcterms:created xsi:type="dcterms:W3CDTF">2025-09-04T14:39:59Z</dcterms:created>
  <dcterms:modified xsi:type="dcterms:W3CDTF">2026-08-21T16:53:17Z</dcterms:modified>
</cp:coreProperties>
</file>